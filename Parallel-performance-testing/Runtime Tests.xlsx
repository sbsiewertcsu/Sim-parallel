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<sst xmlns="http://schemas.openxmlformats.org/spreadsheetml/2006/main" count="101" uniqueCount="46">
  <si>
    <t>Train - Cluster (62x 4-Thread CPUs @ 1.60GHz)</t>
  </si>
  <si>
    <t># nodes:</t>
  </si>
  <si>
    <t>*P% for cluster runtimes may not be exactly correct here- there's only sequential time recorded for running one simulation on one thread, not the multiple simulations that are calculated when running with MPI. Need to get sequential runtimes for 15 and 31 monte-carlo sequentially.</t>
  </si>
  <si>
    <t># threads / node:</t>
  </si>
  <si>
    <t>Runtimes</t>
  </si>
  <si>
    <t>-</t>
  </si>
  <si>
    <t>*Just multiplying the sequential time of one job by the number of workers to get sequential time for monte-carlo, because each worker does the full work of one sequential trial</t>
  </si>
  <si>
    <t>Avg Runtimes</t>
  </si>
  <si>
    <t>SU</t>
  </si>
  <si>
    <t>S</t>
  </si>
  <si>
    <t>S%</t>
  </si>
  <si>
    <t>P%</t>
  </si>
  <si>
    <t>Train - CSCIGPU</t>
  </si>
  <si>
    <t>GMAT MPI Wrapper Note</t>
  </si>
  <si>
    <t>Cluster GMAT - 62 Simulations</t>
  </si>
  <si>
    <t xml:space="preserve"> * Varies: initial altitude (h0), drag coefficent (Cd), area-to-mass (A2M)
 * Output per run: lifetime (days) until Altitude &lt; 122 km, or until MaxDays cap.
 *
 * Build:   mpicxx -O3 -std=c++17 -o montecarlo_wrapper montecarlo_wrapper.cpp
 * Run MC:  mpirun -np 4 ./montecarlo_wrapper
 *
 * Options:
 *   --n = Total number of Monte Carlo simulations (default: 100) 
 *   --mass = Satellite mass in kg (default: 200.0)
 *   --capDays = Max days to propagate if no decay (default: 90.0)</t>
  </si>
  <si>
    <t>MPI</t>
  </si>
  <si>
    <t>No</t>
  </si>
  <si>
    <t>Yes</t>
  </si>
  <si>
    <t>OpenMP</t>
  </si>
  <si>
    <t>Yes - SIMD</t>
  </si>
  <si>
    <t>Yes - Block</t>
  </si>
  <si>
    <t>Command - Build</t>
  </si>
  <si>
    <t>mpicxx  -O0 -I/opt/intel/compilers_and_libraries_2020.0.166/linux/mpi/intel64/include/  -o montecarlo_wrapper montecarlo_wrapper.cpp -lm</t>
  </si>
  <si>
    <t>mpicxx  -O2 -I/opt/intel/compilers_and_libraries_2020.0.166/linux/mpi/intel64/include/  -o montecarlo_wrapper montecarlo_wrapper.cpp -lm</t>
  </si>
  <si>
    <t>Command - Run</t>
  </si>
  <si>
    <t>./montecarlo_wrapper --n 62</t>
  </si>
  <si>
    <t>mpiexec -n 62 -f c1c2_hosts -ppn 1 ./montecarlo_wrapper --n=62</t>
  </si>
  <si>
    <t>./montecarlo_wrapper --n=62</t>
  </si>
  <si>
    <t>./montecarlo_wrapper --n=62 --threads=4</t>
  </si>
  <si>
    <t>mpiexec -n 62 -f c1c2_hosts -ppn 1 ./montecarlo_wrapper --n=62 --threads=4</t>
  </si>
  <si>
    <t># Nodes</t>
  </si>
  <si>
    <t>Threads / Node</t>
  </si>
  <si>
    <t>Runtime (s)</t>
  </si>
  <si>
    <t>* --threads= Number of threads for each MPI worker to use with block-parallelized GMAT</t>
  </si>
  <si>
    <t>Avg Runtime</t>
  </si>
  <si>
    <t>Cluster GMAT - 248 Simulations</t>
  </si>
  <si>
    <t>*when running 248 simulations with 62 nodes, some trials experienced problems with their input .csv files, which I assume to be some kind of race condition. Going to discard this result and move forward.</t>
  </si>
  <si>
    <t>mpiexec -n 248 -f c1c2_hosts -ppn 1 ./montecarlo_wrapper --n=248</t>
  </si>
  <si>
    <t>NAS Parallel Benchmarks</t>
  </si>
  <si>
    <t>Both MPI benchmarks were run with 248 processes distributed across 62 nodes, each with 4 threads. The OpenMP benchmark was run on one node with 4 threads. Instructions and test output can both be found in the 'Jake Tests' document</t>
  </si>
  <si>
    <t>Name &amp; Class</t>
  </si>
  <si>
    <t>MPI - Class C</t>
  </si>
  <si>
    <t>MPI - Class D</t>
  </si>
  <si>
    <t>OpenMP  - Class C</t>
  </si>
  <si>
    <t>Run time (s)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</si>
</sst>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
  </numFmts>
  <fonts count="4">
    <font>
      <sz val="10.0"/>
      <color rgb="FF000000"/>
      <name val="Arial"/>
      <scheme val="minor"/>
    </font>
    <font>
      <b/>
      <color theme="1"/>
      <name val="Arial"/>
      <scheme val="minor"/>
    </font>
    <font/>
    <font>
      <color theme="1"/>
      <name val="Arial"/>
      <scheme val="minor"/>
    </font>
  </fonts>
  <fills count="2">
    <fill>
      <patternFill patternType="none"/>
    </fill>
    <fill>
      <patternFill patternType="lightGray"/>
    </fill>
  </fills>
  <borders count="38">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rder>
    <border>
      <right style="dotted">
        <color rgb="FF000000"/>
      </right>
    </border>
    <border>
      <left style="dotted">
        <color rgb="FF000000"/>
      </left>
    </border>
    <border>
      <right style="medium">
        <color rgb="FF000000"/>
      </right>
    </border>
    <border>
      <left style="medium">
        <color rgb="FF000000"/>
      </left>
      <right style="medium">
        <color rgb="FF000000"/>
      </right>
      <bottom style="medium">
        <color rgb="FF000000"/>
      </bottom>
    </border>
    <border>
      <bottom style="medium">
        <color rgb="FF000000"/>
      </bottom>
    </border>
    <border>
      <right style="dotted">
        <color rgb="FF000000"/>
      </right>
      <bottom style="medium">
        <color rgb="FF000000"/>
      </bottom>
    </border>
    <border>
      <left style="dotted">
        <color rgb="FF000000"/>
      </left>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right style="dotted">
        <color rgb="FF000000"/>
      </right>
      <top style="medium">
        <color rgb="FF000000"/>
      </top>
      <bottom style="medium">
        <color rgb="FF000000"/>
      </bottom>
    </border>
    <border>
      <left style="dotted">
        <color rgb="FF000000"/>
      </lef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dotted">
        <color rgb="FF000000"/>
      </right>
      <top style="medium">
        <color rgb="FF000000"/>
      </top>
    </border>
    <border>
      <left style="dotted">
        <color rgb="FF000000"/>
      </left>
      <top style="medium">
        <color rgb="FF000000"/>
      </top>
    </border>
    <border>
      <right style="medium">
        <color rgb="FF000000"/>
      </right>
      <top style="medium">
        <color rgb="FF000000"/>
      </top>
    </border>
    <border>
      <left style="medium">
        <color rgb="FF000000"/>
      </left>
    </border>
    <border>
      <left style="medium">
        <color rgb="FF000000"/>
      </left>
      <bottom style="medium">
        <color rgb="FF000000"/>
      </bottom>
    </border>
    <border>
      <left style="medium">
        <color rgb="FF000000"/>
      </left>
      <right style="medium">
        <color rgb="FF000000"/>
      </right>
      <top style="thin">
        <color rgb="FF000000"/>
      </top>
    </border>
    <border>
      <top style="thin">
        <color rgb="FF000000"/>
      </top>
    </border>
    <border>
      <right style="medium">
        <color rgb="FF000000"/>
      </right>
      <top style="thin">
        <color rgb="FF000000"/>
      </top>
    </border>
    <border>
      <left style="medium">
        <color rgb="FF000000"/>
      </left>
      <right style="medium">
        <color rgb="FF000000"/>
      </right>
      <bottom style="thin">
        <color rgb="FF000000"/>
      </bottom>
    </border>
    <border>
      <bottom style="thin">
        <color rgb="FF000000"/>
      </bottom>
    </border>
    <border>
      <right style="medium">
        <color rgb="FF000000"/>
      </right>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4" fillId="0" fontId="3" numFmtId="0" xfId="0" applyAlignment="1" applyBorder="1" applyFont="1">
      <alignment readingOrder="0"/>
    </xf>
    <xf borderId="0" fillId="0" fontId="3" numFmtId="0" xfId="0" applyAlignment="1" applyFont="1">
      <alignment readingOrder="0"/>
    </xf>
    <xf borderId="5" fillId="0" fontId="3" numFmtId="0" xfId="0" applyAlignment="1" applyBorder="1" applyFont="1">
      <alignment readingOrder="0"/>
    </xf>
    <xf borderId="6" fillId="0" fontId="3" numFmtId="0" xfId="0" applyAlignment="1" applyBorder="1" applyFont="1">
      <alignment readingOrder="0"/>
    </xf>
    <xf borderId="7" fillId="0" fontId="3" numFmtId="0" xfId="0" applyAlignment="1" applyBorder="1" applyFont="1">
      <alignment readingOrder="0"/>
    </xf>
    <xf borderId="0" fillId="0" fontId="3" numFmtId="0" xfId="0" applyAlignment="1" applyFont="1">
      <alignment horizontal="center" readingOrder="0" shrinkToFit="0" wrapText="1"/>
    </xf>
    <xf borderId="8" fillId="0" fontId="3" numFmtId="0" xfId="0" applyAlignment="1" applyBorder="1" applyFont="1">
      <alignment readingOrder="0"/>
    </xf>
    <xf borderId="9" fillId="0" fontId="3" numFmtId="0" xfId="0" applyAlignment="1" applyBorder="1" applyFont="1">
      <alignment readingOrder="0"/>
    </xf>
    <xf borderId="10" fillId="0" fontId="3" numFmtId="0" xfId="0" applyAlignment="1" applyBorder="1" applyFont="1">
      <alignment readingOrder="0"/>
    </xf>
    <xf borderId="11" fillId="0" fontId="3" numFmtId="0" xfId="0" applyAlignment="1" applyBorder="1" applyFont="1">
      <alignment readingOrder="0"/>
    </xf>
    <xf borderId="12" fillId="0" fontId="3" numFmtId="0" xfId="0" applyAlignment="1" applyBorder="1" applyFont="1">
      <alignment readingOrder="0"/>
    </xf>
    <xf borderId="4" fillId="0" fontId="3" numFmtId="0" xfId="0" applyAlignment="1" applyBorder="1" applyFont="1">
      <alignment horizontal="center" readingOrder="0" vertical="center"/>
    </xf>
    <xf borderId="6" fillId="0" fontId="3" numFmtId="0" xfId="0" applyAlignment="1" applyBorder="1" applyFont="1">
      <alignment horizontal="center" readingOrder="0"/>
    </xf>
    <xf borderId="4" fillId="0" fontId="2" numFmtId="0" xfId="0" applyBorder="1" applyFont="1"/>
    <xf borderId="8" fillId="0" fontId="2" numFmtId="0" xfId="0" applyBorder="1" applyFont="1"/>
    <xf borderId="13" fillId="0" fontId="1" numFmtId="164" xfId="0" applyAlignment="1" applyBorder="1" applyFont="1" applyNumberFormat="1">
      <alignment horizontal="center" readingOrder="0"/>
    </xf>
    <xf borderId="2" fillId="0" fontId="1" numFmtId="164" xfId="0" applyBorder="1" applyFont="1" applyNumberFormat="1"/>
    <xf borderId="14" fillId="0" fontId="1" numFmtId="164" xfId="0" applyBorder="1" applyFont="1" applyNumberFormat="1"/>
    <xf borderId="15" fillId="0" fontId="1" numFmtId="164" xfId="0" applyBorder="1" applyFont="1" applyNumberFormat="1"/>
    <xf borderId="3" fillId="0" fontId="1" numFmtId="164" xfId="0" applyBorder="1" applyFont="1" applyNumberFormat="1"/>
    <xf borderId="0" fillId="0" fontId="3" numFmtId="164" xfId="0" applyFont="1" applyNumberFormat="1"/>
    <xf borderId="16" fillId="0" fontId="1" numFmtId="164" xfId="0" applyAlignment="1" applyBorder="1" applyFont="1" applyNumberFormat="1">
      <alignment readingOrder="0"/>
    </xf>
    <xf borderId="17" fillId="0" fontId="1" numFmtId="164" xfId="0" applyAlignment="1" applyBorder="1" applyFont="1" applyNumberFormat="1">
      <alignment readingOrder="0"/>
    </xf>
    <xf borderId="18" fillId="0" fontId="1" numFmtId="164" xfId="0" applyBorder="1" applyFont="1" applyNumberFormat="1"/>
    <xf borderId="19" fillId="0" fontId="1" numFmtId="164" xfId="0" applyBorder="1" applyFont="1" applyNumberFormat="1"/>
    <xf borderId="20" fillId="0" fontId="1" numFmtId="164" xfId="0" applyAlignment="1" applyBorder="1" applyFont="1" applyNumberFormat="1">
      <alignment readingOrder="0"/>
    </xf>
    <xf borderId="21" fillId="0" fontId="1" numFmtId="164" xfId="0" applyBorder="1" applyFont="1" applyNumberFormat="1"/>
    <xf borderId="4" fillId="0" fontId="3" numFmtId="164" xfId="0" applyAlignment="1" applyBorder="1" applyFont="1" applyNumberFormat="1">
      <alignment readingOrder="0"/>
    </xf>
    <xf borderId="22" fillId="0" fontId="3" numFmtId="164" xfId="0" applyAlignment="1" applyBorder="1" applyFont="1" applyNumberFormat="1">
      <alignment readingOrder="0"/>
    </xf>
    <xf borderId="0" fillId="0" fontId="3" numFmtId="164" xfId="0" applyAlignment="1" applyFont="1" applyNumberFormat="1">
      <alignment readingOrder="0"/>
    </xf>
    <xf borderId="5" fillId="0" fontId="3" numFmtId="164" xfId="0" applyAlignment="1" applyBorder="1" applyFont="1" applyNumberFormat="1">
      <alignment readingOrder="0"/>
    </xf>
    <xf borderId="6" fillId="0" fontId="3" numFmtId="164" xfId="0" applyAlignment="1" applyBorder="1" applyFont="1" applyNumberFormat="1">
      <alignment readingOrder="0"/>
    </xf>
    <xf borderId="7" fillId="0" fontId="3" numFmtId="164" xfId="0" applyAlignment="1" applyBorder="1" applyFont="1" applyNumberFormat="1">
      <alignment readingOrder="0"/>
    </xf>
    <xf borderId="5" fillId="0" fontId="3" numFmtId="164" xfId="0" applyBorder="1" applyFont="1" applyNumberFormat="1"/>
    <xf borderId="7" fillId="0" fontId="3" numFmtId="164" xfId="0" applyBorder="1" applyFont="1" applyNumberFormat="1"/>
    <xf borderId="8" fillId="0" fontId="1" numFmtId="164" xfId="0" applyAlignment="1" applyBorder="1" applyFont="1" applyNumberFormat="1">
      <alignment readingOrder="0"/>
    </xf>
    <xf borderId="23" fillId="0" fontId="1" numFmtId="164" xfId="0" applyAlignment="1" applyBorder="1" applyFont="1" applyNumberFormat="1">
      <alignment readingOrder="0"/>
    </xf>
    <xf borderId="9" fillId="0" fontId="1" numFmtId="164" xfId="0" applyAlignment="1" applyBorder="1" applyFont="1" applyNumberFormat="1">
      <alignment readingOrder="0"/>
    </xf>
    <xf borderId="10" fillId="0" fontId="1" numFmtId="164" xfId="0" applyAlignment="1" applyBorder="1" applyFont="1" applyNumberFormat="1">
      <alignment readingOrder="0"/>
    </xf>
    <xf borderId="11" fillId="0" fontId="1" numFmtId="164" xfId="0" applyAlignment="1" applyBorder="1" applyFont="1" applyNumberFormat="1">
      <alignment readingOrder="0"/>
    </xf>
    <xf borderId="12" fillId="0" fontId="1" numFmtId="164" xfId="0" applyAlignment="1" applyBorder="1" applyFont="1" applyNumberFormat="1">
      <alignment readingOrder="0"/>
    </xf>
    <xf borderId="0" fillId="0" fontId="3" numFmtId="0" xfId="0" applyFont="1"/>
    <xf borderId="13" fillId="0" fontId="1" numFmtId="0" xfId="0" applyAlignment="1" applyBorder="1" applyFont="1">
      <alignment horizontal="center" readingOrder="0"/>
    </xf>
    <xf borderId="2" fillId="0" fontId="1" numFmtId="0" xfId="0" applyBorder="1" applyFont="1"/>
    <xf borderId="3" fillId="0" fontId="1" numFmtId="0" xfId="0" applyBorder="1" applyFont="1"/>
    <xf borderId="16" fillId="0" fontId="1" numFmtId="0" xfId="0" applyAlignment="1" applyBorder="1" applyFont="1">
      <alignment readingOrder="0"/>
    </xf>
    <xf borderId="18" fillId="0" fontId="1" numFmtId="0" xfId="0" applyAlignment="1" applyBorder="1" applyFont="1">
      <alignment readingOrder="0"/>
    </xf>
    <xf borderId="18" fillId="0" fontId="1" numFmtId="0" xfId="0" applyBorder="1" applyFont="1"/>
    <xf borderId="21" fillId="0" fontId="1" numFmtId="0" xfId="0" applyBorder="1" applyFont="1"/>
    <xf borderId="0" fillId="0" fontId="3" numFmtId="0" xfId="0" applyFont="1"/>
    <xf borderId="7" fillId="0" fontId="3" numFmtId="0" xfId="0" applyBorder="1" applyFont="1"/>
    <xf borderId="8" fillId="0" fontId="1" numFmtId="0" xfId="0" applyAlignment="1" applyBorder="1" applyFont="1">
      <alignment readingOrder="0"/>
    </xf>
    <xf borderId="9" fillId="0" fontId="1" numFmtId="0" xfId="0" applyAlignment="1" applyBorder="1" applyFont="1">
      <alignment readingOrder="0"/>
    </xf>
    <xf borderId="12" fillId="0" fontId="1" numFmtId="0" xfId="0" applyAlignment="1" applyBorder="1" applyFont="1">
      <alignment readingOrder="0"/>
    </xf>
    <xf borderId="0" fillId="0" fontId="3" numFmtId="0" xfId="0" applyAlignment="1" applyFont="1">
      <alignment horizontal="center" readingOrder="0"/>
    </xf>
    <xf borderId="1" fillId="0" fontId="1" numFmtId="0" xfId="0" applyAlignment="1" applyBorder="1" applyFont="1">
      <alignment horizontal="center" readingOrder="0" shrinkToFit="0" wrapText="0"/>
    </xf>
    <xf borderId="0" fillId="0" fontId="3" numFmtId="0" xfId="0" applyAlignment="1" applyFont="1">
      <alignment readingOrder="0" shrinkToFit="0" vertical="center" wrapText="0"/>
    </xf>
    <xf borderId="0" fillId="0" fontId="3" numFmtId="0" xfId="0" applyAlignment="1" applyFont="1">
      <alignment shrinkToFit="0" wrapText="0"/>
    </xf>
    <xf borderId="16" fillId="0" fontId="3" numFmtId="0" xfId="0" applyAlignment="1" applyBorder="1" applyFont="1">
      <alignment readingOrder="0" shrinkToFit="0" wrapText="0"/>
    </xf>
    <xf borderId="0" fillId="0" fontId="3" numFmtId="0" xfId="0" applyAlignment="1" applyFont="1">
      <alignment readingOrder="0" shrinkToFit="0" wrapText="0"/>
    </xf>
    <xf borderId="7" fillId="0" fontId="3" numFmtId="0" xfId="0" applyAlignment="1" applyBorder="1" applyFont="1">
      <alignment shrinkToFit="0" wrapText="0"/>
    </xf>
    <xf borderId="4" fillId="0" fontId="3" numFmtId="0" xfId="0" applyAlignment="1" applyBorder="1" applyFont="1">
      <alignment readingOrder="0" shrinkToFit="0" wrapText="0"/>
    </xf>
    <xf borderId="0" fillId="0" fontId="1" numFmtId="0" xfId="0" applyAlignment="1" applyFont="1">
      <alignment readingOrder="0" shrinkToFit="0" wrapText="0"/>
    </xf>
    <xf borderId="24" fillId="0" fontId="3" numFmtId="0" xfId="0" applyAlignment="1" applyBorder="1" applyFont="1">
      <alignment readingOrder="0" shrinkToFit="0" vertical="center" wrapText="0"/>
    </xf>
    <xf borderId="25" fillId="0" fontId="3" numFmtId="0" xfId="0" applyAlignment="1" applyBorder="1" applyFont="1">
      <alignment readingOrder="0"/>
    </xf>
    <xf borderId="25" fillId="0" fontId="3" numFmtId="0" xfId="0" applyAlignment="1" applyBorder="1" applyFont="1">
      <alignment readingOrder="0" shrinkToFit="0" wrapText="0"/>
    </xf>
    <xf borderId="26" fillId="0" fontId="3" numFmtId="0" xfId="0" applyAlignment="1" applyBorder="1" applyFont="1">
      <alignment shrinkToFit="0" wrapText="0"/>
    </xf>
    <xf borderId="27" fillId="0" fontId="2" numFmtId="0" xfId="0" applyBorder="1" applyFont="1"/>
    <xf borderId="28" fillId="0" fontId="3" numFmtId="0" xfId="0" applyAlignment="1" applyBorder="1" applyFont="1">
      <alignment readingOrder="0" shrinkToFit="0" wrapText="0"/>
    </xf>
    <xf borderId="28" fillId="0" fontId="3" numFmtId="0" xfId="0" applyAlignment="1" applyBorder="1" applyFont="1">
      <alignment shrinkToFit="0" wrapText="0"/>
    </xf>
    <xf borderId="29" fillId="0" fontId="3" numFmtId="0" xfId="0" applyAlignment="1" applyBorder="1" applyFont="1">
      <alignment shrinkToFit="0" wrapText="0"/>
    </xf>
    <xf borderId="8" fillId="0" fontId="1" numFmtId="0" xfId="0" applyAlignment="1" applyBorder="1" applyFont="1">
      <alignment readingOrder="0" shrinkToFit="0" wrapText="0"/>
    </xf>
    <xf borderId="9" fillId="0" fontId="1" numFmtId="0" xfId="0" applyAlignment="1" applyBorder="1" applyFont="1">
      <alignment shrinkToFit="0" wrapText="0"/>
    </xf>
    <xf borderId="12" fillId="0" fontId="3" numFmtId="0" xfId="0" applyAlignment="1" applyBorder="1" applyFont="1">
      <alignment shrinkToFit="0" wrapText="0"/>
    </xf>
    <xf borderId="4" fillId="0" fontId="3" numFmtId="0" xfId="0" applyAlignment="1" applyBorder="1" applyFont="1">
      <alignment shrinkToFit="0" wrapText="0"/>
    </xf>
    <xf borderId="8" fillId="0" fontId="3" numFmtId="0" xfId="0" applyAlignment="1" applyBorder="1" applyFont="1">
      <alignment shrinkToFit="0" wrapText="0"/>
    </xf>
    <xf borderId="9" fillId="0" fontId="3" numFmtId="0" xfId="0" applyAlignment="1" applyBorder="1" applyFont="1">
      <alignment shrinkToFit="0" wrapText="0"/>
    </xf>
    <xf borderId="1" fillId="0" fontId="3" numFmtId="0" xfId="0" applyAlignment="1" applyBorder="1" applyFont="1">
      <alignment horizontal="center" readingOrder="0" shrinkToFit="0" wrapText="0"/>
    </xf>
    <xf borderId="22" fillId="0" fontId="3" numFmtId="0" xfId="0" applyAlignment="1" applyBorder="1" applyFont="1">
      <alignment readingOrder="0" shrinkToFit="0" wrapText="0"/>
    </xf>
    <xf borderId="0" fillId="0" fontId="3" numFmtId="0" xfId="0" applyAlignment="1" applyFont="1">
      <alignment readingOrder="0" shrinkToFit="0" vertical="center" wrapText="1"/>
    </xf>
    <xf borderId="22" fillId="0" fontId="3" numFmtId="0" xfId="0" applyAlignment="1" applyBorder="1" applyFont="1">
      <alignment readingOrder="0" shrinkToFit="0" vertical="center" wrapText="0"/>
    </xf>
    <xf borderId="22" fillId="0" fontId="2" numFmtId="0" xfId="0" applyBorder="1" applyFont="1"/>
    <xf borderId="22" fillId="0" fontId="1" numFmtId="0" xfId="0" applyAlignment="1" applyBorder="1" applyFont="1">
      <alignment readingOrder="0" shrinkToFit="0" wrapText="0"/>
    </xf>
    <xf borderId="0" fillId="0" fontId="1" numFmtId="0" xfId="0" applyAlignment="1" applyFont="1">
      <alignment shrinkToFit="0" wrapText="0"/>
    </xf>
    <xf borderId="7" fillId="0" fontId="1" numFmtId="0" xfId="0" applyAlignment="1" applyBorder="1" applyFont="1">
      <alignment shrinkToFit="0" wrapText="0"/>
    </xf>
    <xf borderId="0" fillId="0" fontId="1" numFmtId="0" xfId="0" applyFont="1"/>
    <xf borderId="22" fillId="0" fontId="3" numFmtId="0" xfId="0" applyAlignment="1" applyBorder="1" applyFont="1">
      <alignment shrinkToFit="0" wrapText="0"/>
    </xf>
    <xf borderId="23" fillId="0" fontId="3" numFmtId="0" xfId="0" applyAlignment="1" applyBorder="1" applyFont="1">
      <alignment shrinkToFit="0" wrapText="0"/>
    </xf>
    <xf borderId="30" fillId="0" fontId="1" numFmtId="0" xfId="0" applyAlignment="1" applyBorder="1" applyFont="1">
      <alignment horizontal="center" readingOrder="0"/>
    </xf>
    <xf borderId="31" fillId="0" fontId="2" numFmtId="0" xfId="0" applyBorder="1" applyFont="1"/>
    <xf borderId="32" fillId="0" fontId="2" numFmtId="0" xfId="0" applyBorder="1" applyFont="1"/>
    <xf borderId="0" fillId="0" fontId="3" numFmtId="0" xfId="0" applyAlignment="1" applyFont="1">
      <alignment readingOrder="0" shrinkToFit="0" wrapText="1"/>
    </xf>
    <xf borderId="33" fillId="0" fontId="3" numFmtId="0" xfId="0" applyAlignment="1" applyBorder="1" applyFont="1">
      <alignment readingOrder="0"/>
    </xf>
    <xf borderId="34" fillId="0" fontId="3" numFmtId="0" xfId="0" applyAlignment="1" applyBorder="1" applyFont="1">
      <alignment readingOrder="0"/>
    </xf>
    <xf borderId="35" fillId="0" fontId="3" numFmtId="0" xfId="0" applyAlignment="1" applyBorder="1" applyFont="1">
      <alignment readingOrder="0"/>
    </xf>
    <xf borderId="36" fillId="0" fontId="3" numFmtId="0" xfId="0" applyAlignment="1" applyBorder="1" applyFont="1">
      <alignment readingOrder="0"/>
    </xf>
    <xf borderId="37" fillId="0" fontId="3"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4" max="4" width="16.63"/>
    <col customWidth="1" min="18" max="18" width="49.25"/>
  </cols>
  <sheetData>
    <row r="1">
      <c r="A1" s="1" t="s">
        <v>0</v>
      </c>
      <c r="B1" s="2"/>
      <c r="C1" s="2"/>
      <c r="D1" s="2"/>
      <c r="E1" s="2"/>
      <c r="F1" s="2"/>
      <c r="G1" s="2"/>
      <c r="H1" s="2"/>
      <c r="I1" s="2"/>
      <c r="J1" s="2"/>
      <c r="K1" s="2"/>
      <c r="L1" s="2"/>
      <c r="M1" s="2"/>
      <c r="N1" s="2"/>
      <c r="O1" s="2"/>
      <c r="P1" s="2"/>
      <c r="Q1" s="3"/>
    </row>
    <row r="2">
      <c r="A2" s="4" t="s">
        <v>1</v>
      </c>
      <c r="B2" s="5">
        <v>1.0</v>
      </c>
      <c r="C2" s="5">
        <v>1.0</v>
      </c>
      <c r="D2" s="6">
        <v>1.0</v>
      </c>
      <c r="E2" s="7">
        <v>1.0</v>
      </c>
      <c r="F2" s="5">
        <v>15.0</v>
      </c>
      <c r="G2" s="5">
        <v>15.0</v>
      </c>
      <c r="H2" s="6">
        <v>15.0</v>
      </c>
      <c r="I2" s="7">
        <v>1.0</v>
      </c>
      <c r="J2" s="5">
        <v>31.0</v>
      </c>
      <c r="K2" s="5">
        <v>31.0</v>
      </c>
      <c r="L2" s="6">
        <v>31.0</v>
      </c>
      <c r="M2" s="7">
        <v>1.0</v>
      </c>
      <c r="N2" s="5">
        <v>62.0</v>
      </c>
      <c r="O2" s="5">
        <v>62.0</v>
      </c>
      <c r="P2" s="5">
        <v>62.0</v>
      </c>
      <c r="Q2" s="8">
        <v>62.0</v>
      </c>
      <c r="R2" s="9" t="s">
        <v>2</v>
      </c>
    </row>
    <row r="3">
      <c r="A3" s="10" t="s">
        <v>3</v>
      </c>
      <c r="B3" s="11">
        <v>1.0</v>
      </c>
      <c r="C3" s="11">
        <v>2.0</v>
      </c>
      <c r="D3" s="12">
        <v>4.0</v>
      </c>
      <c r="E3" s="13">
        <v>1.0</v>
      </c>
      <c r="F3" s="11">
        <v>1.0</v>
      </c>
      <c r="G3" s="11">
        <v>2.0</v>
      </c>
      <c r="H3" s="12">
        <v>4.0</v>
      </c>
      <c r="I3" s="13">
        <v>1.0</v>
      </c>
      <c r="J3" s="11">
        <v>1.0</v>
      </c>
      <c r="K3" s="11">
        <v>2.0</v>
      </c>
      <c r="L3" s="12">
        <v>4.0</v>
      </c>
      <c r="M3" s="13">
        <v>1.0</v>
      </c>
      <c r="N3" s="11">
        <v>1.0</v>
      </c>
      <c r="O3" s="11">
        <v>2.0</v>
      </c>
      <c r="P3" s="11">
        <v>4.0</v>
      </c>
      <c r="Q3" s="14">
        <v>8.0</v>
      </c>
    </row>
    <row r="4">
      <c r="A4" s="15" t="s">
        <v>4</v>
      </c>
      <c r="B4" s="5">
        <v>14.470674</v>
      </c>
      <c r="C4" s="5">
        <v>9.098077</v>
      </c>
      <c r="D4" s="6">
        <v>6.389649</v>
      </c>
      <c r="E4" s="16" t="s">
        <v>5</v>
      </c>
      <c r="F4" s="5">
        <v>10.561642</v>
      </c>
      <c r="G4" s="5">
        <v>6.459579</v>
      </c>
      <c r="H4" s="6">
        <v>4.911338</v>
      </c>
      <c r="I4" s="16" t="s">
        <v>5</v>
      </c>
      <c r="J4" s="5">
        <v>11.211884</v>
      </c>
      <c r="K4" s="5">
        <v>6.790701</v>
      </c>
      <c r="L4" s="6">
        <v>4.361755</v>
      </c>
      <c r="M4" s="16"/>
      <c r="N4" s="5">
        <v>11.19439</v>
      </c>
      <c r="O4" s="5">
        <v>6.97323</v>
      </c>
      <c r="P4" s="5">
        <v>4.895669</v>
      </c>
      <c r="Q4" s="8">
        <v>4.567144</v>
      </c>
    </row>
    <row r="5">
      <c r="A5" s="17"/>
      <c r="B5" s="5">
        <v>14.484526</v>
      </c>
      <c r="C5" s="5">
        <v>9.095551</v>
      </c>
      <c r="D5" s="6">
        <v>6.333157</v>
      </c>
      <c r="E5" s="16" t="s">
        <v>5</v>
      </c>
      <c r="F5" s="5">
        <v>10.513912</v>
      </c>
      <c r="G5" s="5">
        <v>6.439327</v>
      </c>
      <c r="H5" s="6">
        <v>4.334579</v>
      </c>
      <c r="I5" s="16" t="s">
        <v>5</v>
      </c>
      <c r="J5" s="5">
        <v>10.409158</v>
      </c>
      <c r="K5" s="5">
        <v>6.393131</v>
      </c>
      <c r="L5" s="6">
        <v>4.325654</v>
      </c>
      <c r="M5" s="16"/>
      <c r="N5" s="5">
        <v>11.292927</v>
      </c>
      <c r="O5" s="5">
        <v>7.007184</v>
      </c>
      <c r="P5" s="5">
        <v>4.541118</v>
      </c>
      <c r="Q5" s="8">
        <v>4.213692</v>
      </c>
    </row>
    <row r="6">
      <c r="A6" s="17"/>
      <c r="B6" s="5">
        <v>14.506485</v>
      </c>
      <c r="C6" s="5">
        <v>9.098153</v>
      </c>
      <c r="D6" s="6">
        <v>6.41427</v>
      </c>
      <c r="E6" s="16" t="s">
        <v>5</v>
      </c>
      <c r="F6" s="5">
        <v>10.47923</v>
      </c>
      <c r="G6" s="5">
        <v>6.476796</v>
      </c>
      <c r="H6" s="6">
        <v>4.38326</v>
      </c>
      <c r="I6" s="16" t="s">
        <v>5</v>
      </c>
      <c r="J6" s="5">
        <v>10.50102</v>
      </c>
      <c r="K6" s="5">
        <v>6.411489</v>
      </c>
      <c r="L6" s="6">
        <v>4.333753</v>
      </c>
      <c r="M6" s="16"/>
      <c r="N6" s="5">
        <v>11.117201</v>
      </c>
      <c r="O6" s="5">
        <v>6.623886</v>
      </c>
      <c r="P6" s="5">
        <v>5.188853</v>
      </c>
      <c r="Q6" s="8">
        <v>4.507654</v>
      </c>
    </row>
    <row r="7">
      <c r="A7" s="17"/>
      <c r="B7" s="5">
        <v>14.492791</v>
      </c>
      <c r="C7" s="5">
        <v>9.118635</v>
      </c>
      <c r="D7" s="6">
        <v>6.359751</v>
      </c>
      <c r="E7" s="16" t="s">
        <v>5</v>
      </c>
      <c r="F7" s="5">
        <v>10.474004</v>
      </c>
      <c r="G7" s="5">
        <v>6.493143</v>
      </c>
      <c r="H7" s="6">
        <v>4.471846</v>
      </c>
      <c r="I7" s="16" t="s">
        <v>5</v>
      </c>
      <c r="J7" s="5">
        <v>10.565386</v>
      </c>
      <c r="K7" s="5">
        <v>6.416377</v>
      </c>
      <c r="L7" s="6">
        <v>4.323615</v>
      </c>
      <c r="M7" s="16"/>
      <c r="N7" s="5">
        <v>10.991725</v>
      </c>
      <c r="O7" s="5">
        <v>7.052817</v>
      </c>
      <c r="P7" s="5">
        <v>4.555102</v>
      </c>
      <c r="Q7" s="8">
        <v>4.184635</v>
      </c>
      <c r="R7" s="9" t="s">
        <v>6</v>
      </c>
    </row>
    <row r="8">
      <c r="A8" s="17"/>
      <c r="B8" s="5">
        <v>14.476169</v>
      </c>
      <c r="C8" s="5">
        <v>9.096236</v>
      </c>
      <c r="D8" s="6">
        <v>6.329969</v>
      </c>
      <c r="E8" s="16" t="s">
        <v>5</v>
      </c>
      <c r="F8" s="5">
        <v>10.473978</v>
      </c>
      <c r="G8" s="5">
        <v>6.493332</v>
      </c>
      <c r="H8" s="6">
        <v>4.385371</v>
      </c>
      <c r="I8" s="16" t="s">
        <v>5</v>
      </c>
      <c r="J8" s="5">
        <v>10.549012</v>
      </c>
      <c r="K8" s="5">
        <v>6.430337</v>
      </c>
      <c r="L8" s="6">
        <v>4.317255</v>
      </c>
      <c r="M8" s="16"/>
      <c r="N8" s="5">
        <v>10.665168</v>
      </c>
      <c r="O8" s="5">
        <v>7.075892</v>
      </c>
      <c r="P8" s="5">
        <v>4.510172</v>
      </c>
      <c r="Q8" s="8">
        <v>4.189255</v>
      </c>
    </row>
    <row r="9">
      <c r="A9" s="17"/>
      <c r="B9" s="5">
        <v>14.465241</v>
      </c>
      <c r="C9" s="5">
        <v>9.095826</v>
      </c>
      <c r="D9" s="6">
        <v>6.409737</v>
      </c>
      <c r="E9" s="16" t="s">
        <v>5</v>
      </c>
      <c r="F9" s="5">
        <v>10.443342</v>
      </c>
      <c r="G9" s="5">
        <v>6.497712</v>
      </c>
      <c r="H9" s="6">
        <v>4.380981</v>
      </c>
      <c r="I9" s="16" t="s">
        <v>5</v>
      </c>
      <c r="J9" s="5">
        <v>11.107054</v>
      </c>
      <c r="K9" s="5">
        <v>6.419598</v>
      </c>
      <c r="L9" s="6">
        <v>4.345708</v>
      </c>
      <c r="M9" s="16"/>
      <c r="N9" s="5">
        <v>10.976908</v>
      </c>
      <c r="O9" s="5">
        <v>6.722558</v>
      </c>
      <c r="P9" s="5">
        <v>4.576021</v>
      </c>
      <c r="Q9" s="8">
        <v>4.208607</v>
      </c>
    </row>
    <row r="10">
      <c r="A10" s="17"/>
      <c r="B10" s="5">
        <v>14.477276</v>
      </c>
      <c r="C10" s="5">
        <v>9.094633</v>
      </c>
      <c r="D10" s="6">
        <v>6.407364</v>
      </c>
      <c r="E10" s="16" t="s">
        <v>5</v>
      </c>
      <c r="F10" s="5">
        <v>10.44306</v>
      </c>
      <c r="G10" s="5">
        <v>6.47481</v>
      </c>
      <c r="H10" s="6">
        <v>4.372441</v>
      </c>
      <c r="I10" s="16" t="s">
        <v>5</v>
      </c>
      <c r="J10" s="5">
        <v>10.570797</v>
      </c>
      <c r="K10" s="5">
        <v>6.464054</v>
      </c>
      <c r="L10" s="6">
        <v>4.330818</v>
      </c>
      <c r="M10" s="16"/>
      <c r="N10" s="5">
        <v>11.039662</v>
      </c>
      <c r="O10" s="5">
        <v>6.634697</v>
      </c>
      <c r="P10" s="5">
        <v>4.882292</v>
      </c>
      <c r="Q10" s="8">
        <v>4.517592</v>
      </c>
    </row>
    <row r="11">
      <c r="A11" s="17"/>
      <c r="B11" s="5">
        <v>14.53837</v>
      </c>
      <c r="C11" s="5">
        <v>9.101354</v>
      </c>
      <c r="D11" s="6">
        <v>6.384428</v>
      </c>
      <c r="E11" s="16" t="s">
        <v>5</v>
      </c>
      <c r="F11" s="5">
        <v>10.464554</v>
      </c>
      <c r="G11" s="5">
        <v>6.503742</v>
      </c>
      <c r="H11" s="6">
        <v>4.345552</v>
      </c>
      <c r="I11" s="16" t="s">
        <v>5</v>
      </c>
      <c r="J11" s="5">
        <v>10.565623</v>
      </c>
      <c r="K11" s="5">
        <v>6.4993</v>
      </c>
      <c r="L11" s="6">
        <v>4.338119</v>
      </c>
      <c r="M11" s="16"/>
      <c r="N11" s="5">
        <v>11.069036</v>
      </c>
      <c r="O11" s="5">
        <v>7.03616</v>
      </c>
      <c r="P11" s="5">
        <v>4.977693</v>
      </c>
      <c r="Q11" s="8">
        <v>4.800187</v>
      </c>
    </row>
    <row r="12">
      <c r="A12" s="17"/>
      <c r="B12" s="5">
        <v>14.470341</v>
      </c>
      <c r="C12" s="5">
        <v>9.103748</v>
      </c>
      <c r="D12" s="6">
        <v>6.404905</v>
      </c>
      <c r="E12" s="16" t="s">
        <v>5</v>
      </c>
      <c r="F12" s="5">
        <v>10.551898</v>
      </c>
      <c r="G12" s="5">
        <v>6.593929</v>
      </c>
      <c r="H12" s="6">
        <v>4.377369</v>
      </c>
      <c r="I12" s="16" t="s">
        <v>5</v>
      </c>
      <c r="J12" s="5">
        <v>10.625993</v>
      </c>
      <c r="K12" s="5">
        <v>6.808101</v>
      </c>
      <c r="L12" s="6">
        <v>4.707998</v>
      </c>
      <c r="M12" s="16"/>
      <c r="N12" s="5">
        <v>11.152344</v>
      </c>
      <c r="O12" s="5">
        <v>7.05504</v>
      </c>
      <c r="P12" s="5">
        <v>4.549456</v>
      </c>
      <c r="Q12" s="8">
        <v>4.193232</v>
      </c>
    </row>
    <row r="13">
      <c r="A13" s="18"/>
      <c r="B13" s="5">
        <v>14.503937</v>
      </c>
      <c r="C13" s="5">
        <v>9.129363</v>
      </c>
      <c r="D13" s="6">
        <v>6.41556</v>
      </c>
      <c r="E13" s="16" t="s">
        <v>5</v>
      </c>
      <c r="F13" s="5">
        <v>10.476607</v>
      </c>
      <c r="G13" s="5">
        <v>7.107838</v>
      </c>
      <c r="H13" s="6">
        <v>4.378828</v>
      </c>
      <c r="I13" s="16" t="s">
        <v>5</v>
      </c>
      <c r="J13" s="5">
        <v>10.397364</v>
      </c>
      <c r="K13" s="5">
        <v>6.41623</v>
      </c>
      <c r="L13" s="6">
        <v>4.360593</v>
      </c>
      <c r="M13" s="16"/>
      <c r="N13" s="5">
        <v>10.634956</v>
      </c>
      <c r="O13" s="5">
        <v>7.102946</v>
      </c>
      <c r="P13" s="5">
        <v>4.535075</v>
      </c>
      <c r="Q13" s="8">
        <v>4.173259</v>
      </c>
    </row>
    <row r="14">
      <c r="A14" s="19" t="s">
        <v>7</v>
      </c>
      <c r="B14" s="20">
        <f t="shared" ref="B14:D14" si="1">average(B4:B13)</f>
        <v>14.488581</v>
      </c>
      <c r="C14" s="20">
        <f t="shared" si="1"/>
        <v>9.1031576</v>
      </c>
      <c r="D14" s="21">
        <f t="shared" si="1"/>
        <v>6.384879</v>
      </c>
      <c r="E14" s="22">
        <f>max(B4:B13)*F2</f>
        <v>218.07555</v>
      </c>
      <c r="F14" s="20">
        <f t="shared" ref="F14:H14" si="2">average(F4:F13)</f>
        <v>10.4882227</v>
      </c>
      <c r="G14" s="20">
        <f t="shared" si="2"/>
        <v>6.5540208</v>
      </c>
      <c r="H14" s="21">
        <f t="shared" si="2"/>
        <v>4.4341565</v>
      </c>
      <c r="I14" s="22">
        <f>F14*J2</f>
        <v>325.1349037</v>
      </c>
      <c r="J14" s="20">
        <f t="shared" ref="J14:L14" si="3">average(J4:J13)</f>
        <v>10.6503291</v>
      </c>
      <c r="K14" s="20">
        <f t="shared" si="3"/>
        <v>6.5049318</v>
      </c>
      <c r="L14" s="21">
        <f t="shared" si="3"/>
        <v>4.3745268</v>
      </c>
      <c r="M14" s="22">
        <f>J14*N2</f>
        <v>660.3204042</v>
      </c>
      <c r="N14" s="20">
        <f t="shared" ref="N14:Q14" si="4">average(N4:N13)</f>
        <v>11.0134317</v>
      </c>
      <c r="O14" s="20">
        <f t="shared" si="4"/>
        <v>6.928441</v>
      </c>
      <c r="P14" s="20">
        <f t="shared" si="4"/>
        <v>4.7211451</v>
      </c>
      <c r="Q14" s="23">
        <f t="shared" si="4"/>
        <v>4.3555257</v>
      </c>
      <c r="R14" s="24"/>
      <c r="S14" s="24"/>
      <c r="T14" s="24"/>
      <c r="U14" s="24"/>
      <c r="V14" s="24"/>
      <c r="W14" s="24"/>
      <c r="X14" s="24"/>
      <c r="Y14" s="24"/>
      <c r="Z14" s="24"/>
      <c r="AA14" s="24"/>
      <c r="AB14" s="24"/>
      <c r="AC14" s="24"/>
      <c r="AD14" s="24"/>
      <c r="AE14" s="24"/>
      <c r="AF14" s="24"/>
      <c r="AG14" s="24"/>
    </row>
    <row r="15">
      <c r="A15" s="25" t="s">
        <v>8</v>
      </c>
      <c r="B15" s="26">
        <v>1.0</v>
      </c>
      <c r="C15" s="27">
        <f t="shared" ref="C15:D15" si="5">$B$14/C14</f>
        <v>1.591599491</v>
      </c>
      <c r="D15" s="28">
        <f t="shared" si="5"/>
        <v>2.269202126</v>
      </c>
      <c r="E15" s="29">
        <v>1.0</v>
      </c>
      <c r="F15" s="27">
        <f t="shared" ref="F15:H15" si="6">$E$14/F14</f>
        <v>20.79242177</v>
      </c>
      <c r="G15" s="27">
        <f t="shared" si="6"/>
        <v>33.27355171</v>
      </c>
      <c r="H15" s="28">
        <f t="shared" si="6"/>
        <v>49.18084195</v>
      </c>
      <c r="I15" s="29">
        <v>1.0</v>
      </c>
      <c r="J15" s="27">
        <f t="shared" ref="J15:L15" si="7">$I$14/J14</f>
        <v>30.52815558</v>
      </c>
      <c r="K15" s="27">
        <f t="shared" si="7"/>
        <v>49.98283052</v>
      </c>
      <c r="L15" s="28">
        <f t="shared" si="7"/>
        <v>74.32458836</v>
      </c>
      <c r="M15" s="29">
        <v>1.0</v>
      </c>
      <c r="N15" s="27">
        <f t="shared" ref="N15:Q15" si="8">$M$14/N14</f>
        <v>59.95591766</v>
      </c>
      <c r="O15" s="27">
        <f t="shared" si="8"/>
        <v>95.30576997</v>
      </c>
      <c r="P15" s="27">
        <f t="shared" si="8"/>
        <v>139.8644588</v>
      </c>
      <c r="Q15" s="30">
        <f t="shared" si="8"/>
        <v>151.6052136</v>
      </c>
      <c r="R15" s="24"/>
      <c r="S15" s="24"/>
      <c r="T15" s="24"/>
      <c r="U15" s="24"/>
      <c r="V15" s="24"/>
      <c r="W15" s="24"/>
      <c r="X15" s="24"/>
      <c r="Y15" s="24"/>
      <c r="Z15" s="24"/>
      <c r="AA15" s="24"/>
      <c r="AB15" s="24"/>
      <c r="AC15" s="24"/>
      <c r="AD15" s="24"/>
      <c r="AE15" s="24"/>
      <c r="AF15" s="24"/>
      <c r="AG15" s="24"/>
    </row>
    <row r="16">
      <c r="A16" s="31" t="s">
        <v>9</v>
      </c>
      <c r="B16" s="32">
        <v>1.0</v>
      </c>
      <c r="C16" s="33">
        <f t="shared" ref="C16:D16" si="9">C2*C3</f>
        <v>2</v>
      </c>
      <c r="D16" s="34">
        <f t="shared" si="9"/>
        <v>4</v>
      </c>
      <c r="E16" s="35">
        <v>1.0</v>
      </c>
      <c r="F16" s="33">
        <f t="shared" ref="F16:H16" si="10">F2*F3</f>
        <v>15</v>
      </c>
      <c r="G16" s="33">
        <f t="shared" si="10"/>
        <v>30</v>
      </c>
      <c r="H16" s="34">
        <f t="shared" si="10"/>
        <v>60</v>
      </c>
      <c r="I16" s="35">
        <v>1.0</v>
      </c>
      <c r="J16" s="33">
        <f t="shared" ref="J16:L16" si="11">J2*J3</f>
        <v>31</v>
      </c>
      <c r="K16" s="33">
        <f t="shared" si="11"/>
        <v>62</v>
      </c>
      <c r="L16" s="34">
        <f t="shared" si="11"/>
        <v>124</v>
      </c>
      <c r="M16" s="35">
        <v>1.0</v>
      </c>
      <c r="N16" s="33">
        <f t="shared" ref="N16:Q16" si="12">N2*N3</f>
        <v>62</v>
      </c>
      <c r="O16" s="33">
        <f t="shared" si="12"/>
        <v>124</v>
      </c>
      <c r="P16" s="33">
        <f t="shared" si="12"/>
        <v>248</v>
      </c>
      <c r="Q16" s="36">
        <f t="shared" si="12"/>
        <v>496</v>
      </c>
      <c r="R16" s="24"/>
      <c r="S16" s="24"/>
      <c r="T16" s="24"/>
      <c r="U16" s="24"/>
      <c r="V16" s="24"/>
      <c r="W16" s="24"/>
      <c r="X16" s="24"/>
      <c r="Y16" s="24"/>
      <c r="Z16" s="24"/>
      <c r="AA16" s="24"/>
      <c r="AB16" s="24"/>
      <c r="AC16" s="24"/>
      <c r="AD16" s="24"/>
      <c r="AE16" s="24"/>
      <c r="AF16" s="24"/>
      <c r="AG16" s="24"/>
    </row>
    <row r="17">
      <c r="A17" s="31" t="s">
        <v>10</v>
      </c>
      <c r="B17" s="32">
        <v>1.0</v>
      </c>
      <c r="C17" s="24">
        <f t="shared" ref="C17:D17" si="13">1-C18</f>
        <v>0.2565975371</v>
      </c>
      <c r="D17" s="37">
        <f t="shared" si="13"/>
        <v>0.2542447048</v>
      </c>
      <c r="E17" s="35">
        <v>1.0</v>
      </c>
      <c r="F17" s="24">
        <f t="shared" ref="F17:H17" si="14">1-F18</f>
        <v>-0.01989880817</v>
      </c>
      <c r="G17" s="24">
        <f t="shared" si="14"/>
        <v>-0.003392517109</v>
      </c>
      <c r="H17" s="37">
        <f t="shared" si="14"/>
        <v>0.003728597416</v>
      </c>
      <c r="I17" s="35">
        <v>1.0</v>
      </c>
      <c r="J17" s="24">
        <f t="shared" ref="J17:L17" si="15">1-J18</f>
        <v>0.0005152013664</v>
      </c>
      <c r="K17" s="24">
        <f t="shared" si="15"/>
        <v>0.003941409006</v>
      </c>
      <c r="L17" s="37">
        <f t="shared" si="15"/>
        <v>0.005433802516</v>
      </c>
      <c r="M17" s="35">
        <v>1.0</v>
      </c>
      <c r="N17" s="24">
        <f t="shared" ref="N17:Q17" si="16">1-N18</f>
        <v>0.0005589030708</v>
      </c>
      <c r="O17" s="24">
        <f t="shared" si="16"/>
        <v>0.002447768095</v>
      </c>
      <c r="P17" s="24">
        <f t="shared" si="16"/>
        <v>0.003130142692</v>
      </c>
      <c r="Q17" s="38">
        <f t="shared" si="16"/>
        <v>0.004589202617</v>
      </c>
      <c r="R17" s="24"/>
      <c r="S17" s="24"/>
      <c r="T17" s="24"/>
      <c r="U17" s="24"/>
      <c r="V17" s="24"/>
      <c r="W17" s="24"/>
      <c r="X17" s="24"/>
      <c r="Y17" s="24"/>
      <c r="Z17" s="24"/>
      <c r="AA17" s="24"/>
      <c r="AB17" s="24"/>
      <c r="AC17" s="24"/>
      <c r="AD17" s="24"/>
      <c r="AE17" s="24"/>
      <c r="AF17" s="24"/>
      <c r="AG17" s="24"/>
    </row>
    <row r="18">
      <c r="A18" s="39" t="s">
        <v>11</v>
      </c>
      <c r="B18" s="40">
        <v>0.0</v>
      </c>
      <c r="C18" s="41">
        <f t="shared" ref="C18:D18" si="17">((1/C15)-1)/((1/C16)-1)</f>
        <v>0.7434024629</v>
      </c>
      <c r="D18" s="42">
        <f t="shared" si="17"/>
        <v>0.7457552952</v>
      </c>
      <c r="E18" s="43">
        <v>0.0</v>
      </c>
      <c r="F18" s="41">
        <f t="shared" ref="F18:H18" si="18">((1/F15)-1)/((1/F16)-1)</f>
        <v>1.019898808</v>
      </c>
      <c r="G18" s="41">
        <f t="shared" si="18"/>
        <v>1.003392517</v>
      </c>
      <c r="H18" s="42">
        <f t="shared" si="18"/>
        <v>0.9962714026</v>
      </c>
      <c r="I18" s="43">
        <v>0.0</v>
      </c>
      <c r="J18" s="41">
        <f t="shared" ref="J18:L18" si="19">((1/J15)-1)/((1/J16)-1)</f>
        <v>0.9994847986</v>
      </c>
      <c r="K18" s="41">
        <f t="shared" si="19"/>
        <v>0.996058591</v>
      </c>
      <c r="L18" s="42">
        <f t="shared" si="19"/>
        <v>0.9945661975</v>
      </c>
      <c r="M18" s="43">
        <v>0.0</v>
      </c>
      <c r="N18" s="41">
        <f t="shared" ref="N18:Q18" si="20">((1/N15)-1)/((1/N16)-1)</f>
        <v>0.9994410969</v>
      </c>
      <c r="O18" s="41">
        <f t="shared" si="20"/>
        <v>0.9975522319</v>
      </c>
      <c r="P18" s="41">
        <f t="shared" si="20"/>
        <v>0.9968698573</v>
      </c>
      <c r="Q18" s="44">
        <f t="shared" si="20"/>
        <v>0.9954107974</v>
      </c>
      <c r="R18" s="24"/>
      <c r="S18" s="24"/>
      <c r="T18" s="24"/>
      <c r="U18" s="24"/>
      <c r="V18" s="24"/>
      <c r="W18" s="24"/>
      <c r="X18" s="24"/>
      <c r="Y18" s="24"/>
      <c r="Z18" s="24"/>
      <c r="AA18" s="24"/>
      <c r="AB18" s="24"/>
      <c r="AC18" s="24"/>
      <c r="AD18" s="24"/>
      <c r="AE18" s="24"/>
      <c r="AF18" s="24"/>
      <c r="AG18" s="24"/>
    </row>
    <row r="20">
      <c r="A20" s="1" t="s">
        <v>12</v>
      </c>
      <c r="B20" s="2"/>
      <c r="C20" s="2"/>
      <c r="D20" s="2"/>
      <c r="E20" s="3"/>
      <c r="F20" s="45"/>
      <c r="G20" s="45"/>
      <c r="H20" s="45"/>
      <c r="I20" s="45"/>
      <c r="J20" s="45"/>
      <c r="K20" s="45"/>
      <c r="L20" s="45"/>
      <c r="M20" s="45"/>
      <c r="N20" s="45"/>
      <c r="O20" s="45"/>
      <c r="P20" s="45"/>
      <c r="Q20" s="45"/>
    </row>
    <row r="21">
      <c r="A21" s="4" t="s">
        <v>1</v>
      </c>
      <c r="B21" s="5">
        <v>1.0</v>
      </c>
      <c r="C21" s="5">
        <v>1.0</v>
      </c>
      <c r="D21" s="5">
        <v>1.0</v>
      </c>
      <c r="E21" s="8">
        <v>1.0</v>
      </c>
      <c r="L21" s="45"/>
      <c r="M21" s="45"/>
      <c r="N21" s="45"/>
      <c r="O21" s="45"/>
      <c r="P21" s="45"/>
      <c r="Q21" s="45"/>
    </row>
    <row r="22">
      <c r="A22" s="10" t="s">
        <v>3</v>
      </c>
      <c r="B22" s="11">
        <v>1.0</v>
      </c>
      <c r="C22" s="11">
        <v>8.0</v>
      </c>
      <c r="D22" s="11">
        <v>16.0</v>
      </c>
      <c r="E22" s="14">
        <v>32.0</v>
      </c>
      <c r="F22" s="45"/>
      <c r="G22" s="45"/>
      <c r="H22" s="45"/>
      <c r="I22" s="45"/>
      <c r="J22" s="45"/>
      <c r="K22" s="45"/>
      <c r="L22" s="45"/>
      <c r="M22" s="45"/>
      <c r="N22" s="45"/>
      <c r="O22" s="45"/>
      <c r="P22" s="45"/>
      <c r="Q22" s="45"/>
    </row>
    <row r="23">
      <c r="A23" s="15" t="s">
        <v>4</v>
      </c>
      <c r="B23" s="5">
        <v>13.5847</v>
      </c>
      <c r="C23" s="5">
        <v>2.355345</v>
      </c>
      <c r="D23" s="5">
        <v>1.436542</v>
      </c>
      <c r="E23" s="8">
        <v>1.433803</v>
      </c>
      <c r="L23" s="45"/>
      <c r="M23" s="45"/>
      <c r="N23" s="45"/>
      <c r="O23" s="45"/>
      <c r="P23" s="45"/>
      <c r="Q23" s="45"/>
    </row>
    <row r="24">
      <c r="A24" s="17"/>
      <c r="B24" s="5">
        <v>13.604571</v>
      </c>
      <c r="C24" s="5">
        <v>2.361201</v>
      </c>
      <c r="D24" s="5">
        <v>1.44643</v>
      </c>
      <c r="E24" s="8">
        <v>1.521244</v>
      </c>
      <c r="L24" s="45"/>
      <c r="M24" s="45"/>
      <c r="N24" s="45"/>
      <c r="O24" s="45"/>
      <c r="P24" s="45"/>
      <c r="Q24" s="45"/>
    </row>
    <row r="25">
      <c r="A25" s="17"/>
      <c r="B25" s="5">
        <v>13.609432</v>
      </c>
      <c r="C25" s="5">
        <v>2.36838</v>
      </c>
      <c r="D25" s="5">
        <v>1.434071</v>
      </c>
      <c r="E25" s="8">
        <v>1.452405</v>
      </c>
      <c r="L25" s="45"/>
      <c r="M25" s="45"/>
      <c r="N25" s="45"/>
      <c r="O25" s="45"/>
      <c r="P25" s="45"/>
      <c r="Q25" s="45"/>
    </row>
    <row r="26">
      <c r="A26" s="17"/>
      <c r="B26" s="5">
        <v>13.620235</v>
      </c>
      <c r="C26" s="5">
        <v>2.364279</v>
      </c>
      <c r="D26" s="5">
        <v>1.431289</v>
      </c>
      <c r="E26" s="8">
        <v>1.48212</v>
      </c>
      <c r="L26" s="45"/>
      <c r="M26" s="45"/>
      <c r="N26" s="45"/>
      <c r="O26" s="45"/>
      <c r="P26" s="45"/>
      <c r="Q26" s="45"/>
    </row>
    <row r="27">
      <c r="A27" s="17"/>
      <c r="B27" s="5">
        <v>13.604831</v>
      </c>
      <c r="C27" s="5">
        <v>2.363689</v>
      </c>
      <c r="D27" s="5">
        <v>1.437159</v>
      </c>
      <c r="E27" s="8">
        <v>1.45836</v>
      </c>
      <c r="L27" s="45"/>
      <c r="M27" s="45"/>
      <c r="N27" s="45"/>
      <c r="O27" s="45"/>
      <c r="P27" s="45"/>
      <c r="Q27" s="45"/>
    </row>
    <row r="28">
      <c r="A28" s="17"/>
      <c r="B28" s="5">
        <v>13.609616</v>
      </c>
      <c r="C28" s="5">
        <v>2.361085</v>
      </c>
      <c r="D28" s="5">
        <v>1.494593</v>
      </c>
      <c r="E28" s="8">
        <v>1.498602</v>
      </c>
      <c r="L28" s="45"/>
      <c r="M28" s="45"/>
      <c r="N28" s="45"/>
      <c r="O28" s="45"/>
      <c r="P28" s="45"/>
      <c r="Q28" s="45"/>
    </row>
    <row r="29">
      <c r="A29" s="17"/>
      <c r="B29" s="5">
        <v>13.610614</v>
      </c>
      <c r="C29" s="5">
        <v>2.36292</v>
      </c>
      <c r="D29" s="5">
        <v>1.451776</v>
      </c>
      <c r="E29" s="8">
        <v>1.48352</v>
      </c>
      <c r="L29" s="45"/>
      <c r="M29" s="45"/>
      <c r="N29" s="45"/>
      <c r="O29" s="45"/>
      <c r="P29" s="45"/>
      <c r="Q29" s="45"/>
    </row>
    <row r="30">
      <c r="A30" s="17"/>
      <c r="B30" s="5">
        <v>13.601187</v>
      </c>
      <c r="C30" s="5">
        <v>2.369198</v>
      </c>
      <c r="D30" s="5">
        <v>1.44605</v>
      </c>
      <c r="E30" s="8">
        <v>1.462887</v>
      </c>
      <c r="L30" s="45"/>
      <c r="M30" s="45"/>
      <c r="N30" s="45"/>
      <c r="O30" s="45"/>
      <c r="P30" s="45"/>
      <c r="Q30" s="45"/>
    </row>
    <row r="31">
      <c r="A31" s="17"/>
      <c r="B31" s="5">
        <v>13.57455</v>
      </c>
      <c r="C31" s="5">
        <v>2.427286</v>
      </c>
      <c r="D31" s="5">
        <v>1.543422</v>
      </c>
      <c r="E31" s="8">
        <v>1.471853</v>
      </c>
      <c r="L31" s="45"/>
      <c r="M31" s="45"/>
      <c r="N31" s="45"/>
      <c r="O31" s="45"/>
      <c r="P31" s="45"/>
      <c r="Q31" s="45"/>
    </row>
    <row r="32">
      <c r="A32" s="18"/>
      <c r="B32" s="5">
        <v>13.570603</v>
      </c>
      <c r="C32" s="5">
        <v>2.362629</v>
      </c>
      <c r="D32" s="5">
        <v>1.431287</v>
      </c>
      <c r="E32" s="8">
        <v>1.491564</v>
      </c>
      <c r="L32" s="45"/>
      <c r="M32" s="45"/>
      <c r="N32" s="45"/>
      <c r="O32" s="45"/>
      <c r="P32" s="45"/>
      <c r="Q32" s="45"/>
    </row>
    <row r="33">
      <c r="A33" s="46" t="s">
        <v>7</v>
      </c>
      <c r="B33" s="47">
        <f t="shared" ref="B33:E33" si="21">average(B23:B32)</f>
        <v>13.5990339</v>
      </c>
      <c r="C33" s="47">
        <f t="shared" si="21"/>
        <v>2.3696012</v>
      </c>
      <c r="D33" s="47">
        <f t="shared" si="21"/>
        <v>1.4552619</v>
      </c>
      <c r="E33" s="48">
        <f t="shared" si="21"/>
        <v>1.4756358</v>
      </c>
    </row>
    <row r="34">
      <c r="A34" s="49" t="s">
        <v>8</v>
      </c>
      <c r="B34" s="50">
        <v>1.0</v>
      </c>
      <c r="C34" s="51">
        <f t="shared" ref="C34:E34" si="22">$B$33/C33</f>
        <v>5.738954681</v>
      </c>
      <c r="D34" s="51">
        <f t="shared" si="22"/>
        <v>9.344733</v>
      </c>
      <c r="E34" s="52">
        <f t="shared" si="22"/>
        <v>9.21571156</v>
      </c>
    </row>
    <row r="35">
      <c r="A35" s="4" t="s">
        <v>9</v>
      </c>
      <c r="B35" s="5">
        <v>1.0</v>
      </c>
      <c r="C35" s="5">
        <v>8.0</v>
      </c>
      <c r="D35" s="5">
        <v>16.0</v>
      </c>
      <c r="E35" s="8">
        <v>32.0</v>
      </c>
    </row>
    <row r="36">
      <c r="A36" s="4" t="s">
        <v>10</v>
      </c>
      <c r="B36" s="5">
        <v>1.0</v>
      </c>
      <c r="C36" s="53">
        <f t="shared" ref="C36:E36" si="23">1-C37</f>
        <v>0.05628315469</v>
      </c>
      <c r="D36" s="53">
        <f t="shared" si="23"/>
        <v>0.04747963015</v>
      </c>
      <c r="E36" s="54">
        <f t="shared" si="23"/>
        <v>0.07975260963</v>
      </c>
    </row>
    <row r="37">
      <c r="A37" s="55" t="s">
        <v>11</v>
      </c>
      <c r="B37" s="56">
        <v>0.0</v>
      </c>
      <c r="C37" s="56">
        <f t="shared" ref="C37:E37" si="24">((1/C34)-1)/((1/C35)-1)</f>
        <v>0.9437168453</v>
      </c>
      <c r="D37" s="56">
        <f t="shared" si="24"/>
        <v>0.9525203698</v>
      </c>
      <c r="E37" s="57">
        <f t="shared" si="24"/>
        <v>0.9202473904</v>
      </c>
    </row>
    <row r="38">
      <c r="I38" s="58" t="s">
        <v>13</v>
      </c>
    </row>
    <row r="39">
      <c r="A39" s="59" t="s">
        <v>14</v>
      </c>
      <c r="B39" s="2"/>
      <c r="C39" s="2"/>
      <c r="D39" s="2"/>
      <c r="E39" s="2"/>
      <c r="F39" s="2"/>
      <c r="G39" s="2"/>
      <c r="H39" s="3"/>
      <c r="I39" s="60" t="s">
        <v>15</v>
      </c>
      <c r="N39" s="61"/>
      <c r="O39" s="61"/>
      <c r="P39" s="61"/>
      <c r="Q39" s="61"/>
      <c r="R39" s="61"/>
      <c r="S39" s="61"/>
      <c r="T39" s="61"/>
      <c r="U39" s="61"/>
      <c r="V39" s="61"/>
      <c r="W39" s="61"/>
      <c r="X39" s="61"/>
      <c r="Y39" s="61"/>
      <c r="Z39" s="61"/>
      <c r="AA39" s="61"/>
      <c r="AB39" s="61"/>
      <c r="AC39" s="61"/>
      <c r="AD39" s="61"/>
      <c r="AE39" s="61"/>
      <c r="AF39" s="61"/>
      <c r="AG39" s="61"/>
    </row>
    <row r="40">
      <c r="A40" s="62" t="s">
        <v>16</v>
      </c>
      <c r="B40" s="63" t="s">
        <v>17</v>
      </c>
      <c r="C40" s="63" t="s">
        <v>18</v>
      </c>
      <c r="D40" s="63" t="s">
        <v>18</v>
      </c>
      <c r="E40" s="63" t="s">
        <v>17</v>
      </c>
      <c r="F40" s="63" t="s">
        <v>17</v>
      </c>
      <c r="G40" s="63" t="s">
        <v>18</v>
      </c>
      <c r="H40" s="64"/>
      <c r="N40" s="61"/>
      <c r="O40" s="61"/>
      <c r="P40" s="61"/>
      <c r="Q40" s="61"/>
      <c r="R40" s="61"/>
      <c r="S40" s="61"/>
      <c r="T40" s="61"/>
      <c r="U40" s="61"/>
      <c r="V40" s="61"/>
      <c r="W40" s="61"/>
      <c r="X40" s="61"/>
      <c r="Y40" s="61"/>
      <c r="Z40" s="61"/>
      <c r="AA40" s="61"/>
      <c r="AB40" s="61"/>
      <c r="AC40" s="61"/>
      <c r="AD40" s="61"/>
      <c r="AE40" s="61"/>
      <c r="AF40" s="61"/>
      <c r="AG40" s="61"/>
    </row>
    <row r="41">
      <c r="A41" s="65" t="s">
        <v>19</v>
      </c>
      <c r="B41" s="63" t="s">
        <v>17</v>
      </c>
      <c r="C41" s="63" t="s">
        <v>17</v>
      </c>
      <c r="D41" s="63" t="s">
        <v>17</v>
      </c>
      <c r="E41" s="63" t="s">
        <v>20</v>
      </c>
      <c r="F41" s="63" t="s">
        <v>21</v>
      </c>
      <c r="G41" s="63" t="s">
        <v>21</v>
      </c>
      <c r="H41" s="64"/>
      <c r="N41" s="61"/>
      <c r="O41" s="61"/>
      <c r="P41" s="61"/>
      <c r="Q41" s="61"/>
      <c r="R41" s="61"/>
      <c r="S41" s="61"/>
      <c r="T41" s="61"/>
      <c r="U41" s="61"/>
      <c r="V41" s="61"/>
      <c r="W41" s="61"/>
      <c r="X41" s="61"/>
      <c r="Y41" s="61"/>
      <c r="Z41" s="61"/>
      <c r="AA41" s="61"/>
      <c r="AB41" s="61"/>
      <c r="AC41" s="61"/>
      <c r="AD41" s="61"/>
      <c r="AE41" s="61"/>
      <c r="AF41" s="61"/>
      <c r="AG41" s="61"/>
    </row>
    <row r="42">
      <c r="A42" s="65" t="s">
        <v>22</v>
      </c>
      <c r="B42" s="63" t="s">
        <v>23</v>
      </c>
      <c r="C42" s="66" t="s">
        <v>23</v>
      </c>
      <c r="D42" s="66" t="s">
        <v>24</v>
      </c>
      <c r="E42" s="63" t="s">
        <v>24</v>
      </c>
      <c r="F42" s="63" t="s">
        <v>24</v>
      </c>
      <c r="G42" s="63" t="s">
        <v>24</v>
      </c>
      <c r="H42" s="64"/>
      <c r="N42" s="61"/>
      <c r="O42" s="61"/>
      <c r="P42" s="61"/>
      <c r="Q42" s="61"/>
      <c r="R42" s="61"/>
      <c r="S42" s="61"/>
      <c r="T42" s="61"/>
      <c r="U42" s="61"/>
      <c r="V42" s="61"/>
      <c r="W42" s="61"/>
      <c r="X42" s="61"/>
      <c r="Y42" s="61"/>
      <c r="Z42" s="61"/>
      <c r="AA42" s="61"/>
      <c r="AB42" s="61"/>
      <c r="AC42" s="61"/>
      <c r="AD42" s="61"/>
      <c r="AE42" s="61"/>
      <c r="AF42" s="61"/>
      <c r="AG42" s="61"/>
    </row>
    <row r="43">
      <c r="A43" s="65" t="s">
        <v>25</v>
      </c>
      <c r="B43" s="5" t="s">
        <v>26</v>
      </c>
      <c r="C43" s="63" t="s">
        <v>27</v>
      </c>
      <c r="D43" s="63" t="s">
        <v>27</v>
      </c>
      <c r="E43" s="63" t="s">
        <v>28</v>
      </c>
      <c r="F43" s="63" t="s">
        <v>29</v>
      </c>
      <c r="G43" s="63" t="s">
        <v>30</v>
      </c>
      <c r="H43" s="64"/>
      <c r="N43" s="61"/>
      <c r="O43" s="61"/>
      <c r="P43" s="61"/>
      <c r="Q43" s="61"/>
      <c r="R43" s="61"/>
      <c r="S43" s="61"/>
      <c r="T43" s="61"/>
      <c r="U43" s="61"/>
      <c r="V43" s="61"/>
      <c r="W43" s="61"/>
      <c r="X43" s="61"/>
      <c r="Y43" s="61"/>
      <c r="Z43" s="61"/>
      <c r="AA43" s="61"/>
      <c r="AB43" s="61"/>
      <c r="AC43" s="61"/>
      <c r="AD43" s="61"/>
      <c r="AE43" s="61"/>
      <c r="AF43" s="61"/>
      <c r="AG43" s="61"/>
    </row>
    <row r="44">
      <c r="A44" s="65" t="s">
        <v>31</v>
      </c>
      <c r="B44" s="5">
        <v>1.0</v>
      </c>
      <c r="C44" s="63">
        <v>62.0</v>
      </c>
      <c r="D44" s="63">
        <v>62.0</v>
      </c>
      <c r="E44" s="63">
        <v>1.0</v>
      </c>
      <c r="F44" s="63">
        <v>1.0</v>
      </c>
      <c r="G44" s="63">
        <v>62.0</v>
      </c>
      <c r="H44" s="64"/>
      <c r="N44" s="61"/>
      <c r="O44" s="61"/>
      <c r="P44" s="61"/>
      <c r="Q44" s="61"/>
      <c r="R44" s="61"/>
      <c r="S44" s="61"/>
      <c r="T44" s="61"/>
      <c r="U44" s="61"/>
      <c r="V44" s="61"/>
      <c r="W44" s="61"/>
      <c r="X44" s="61"/>
      <c r="Y44" s="61"/>
      <c r="Z44" s="61"/>
      <c r="AA44" s="61"/>
      <c r="AB44" s="61"/>
      <c r="AC44" s="61"/>
      <c r="AD44" s="61"/>
      <c r="AE44" s="61"/>
      <c r="AF44" s="61"/>
      <c r="AG44" s="61"/>
    </row>
    <row r="45">
      <c r="A45" s="65" t="s">
        <v>32</v>
      </c>
      <c r="B45" s="5">
        <v>1.0</v>
      </c>
      <c r="C45" s="63">
        <v>1.0</v>
      </c>
      <c r="D45" s="63">
        <v>1.0</v>
      </c>
      <c r="E45" s="63">
        <v>1.0</v>
      </c>
      <c r="F45" s="63">
        <v>4.0</v>
      </c>
      <c r="G45" s="63">
        <v>4.0</v>
      </c>
      <c r="H45" s="64"/>
      <c r="N45" s="61"/>
      <c r="O45" s="61"/>
      <c r="P45" s="61"/>
      <c r="Q45" s="61"/>
      <c r="R45" s="61"/>
      <c r="S45" s="61"/>
      <c r="T45" s="61"/>
      <c r="U45" s="61"/>
      <c r="V45" s="61"/>
      <c r="W45" s="61"/>
      <c r="X45" s="61"/>
      <c r="Y45" s="61"/>
      <c r="Z45" s="61"/>
      <c r="AA45" s="61"/>
      <c r="AB45" s="61"/>
      <c r="AC45" s="61"/>
      <c r="AD45" s="61"/>
      <c r="AE45" s="61"/>
      <c r="AF45" s="61"/>
      <c r="AG45" s="61"/>
    </row>
    <row r="46">
      <c r="A46" s="67" t="s">
        <v>33</v>
      </c>
      <c r="B46" s="68">
        <v>1353.287426395</v>
      </c>
      <c r="C46" s="69">
        <v>24.312715933</v>
      </c>
      <c r="D46" s="69">
        <v>25.0066906799999</v>
      </c>
      <c r="E46" s="69">
        <v>1361.99483379</v>
      </c>
      <c r="F46" s="69">
        <v>2942.68481248999</v>
      </c>
      <c r="G46" s="69">
        <v>51.02789389</v>
      </c>
      <c r="H46" s="70"/>
      <c r="N46" s="61"/>
      <c r="O46" s="61"/>
      <c r="P46" s="61"/>
      <c r="Q46" s="61"/>
      <c r="R46" s="61"/>
      <c r="S46" s="61"/>
      <c r="T46" s="61"/>
      <c r="U46" s="61"/>
      <c r="V46" s="61"/>
      <c r="W46" s="61"/>
      <c r="X46" s="61"/>
      <c r="Y46" s="61"/>
      <c r="Z46" s="61"/>
      <c r="AA46" s="61"/>
      <c r="AB46" s="61"/>
      <c r="AC46" s="61"/>
      <c r="AD46" s="61"/>
      <c r="AE46" s="61"/>
      <c r="AF46" s="61"/>
      <c r="AG46" s="61"/>
    </row>
    <row r="47">
      <c r="A47" s="17"/>
      <c r="B47" s="63">
        <v>1350.43710431699</v>
      </c>
      <c r="C47" s="63">
        <v>24.239834659</v>
      </c>
      <c r="D47" s="63">
        <v>24.084066263</v>
      </c>
      <c r="E47" s="61"/>
      <c r="F47" s="61"/>
      <c r="G47" s="63">
        <v>51.364486908</v>
      </c>
      <c r="H47" s="64"/>
      <c r="N47" s="61"/>
      <c r="O47" s="61"/>
      <c r="P47" s="61"/>
      <c r="Q47" s="61"/>
      <c r="R47" s="61"/>
      <c r="S47" s="61"/>
      <c r="T47" s="61"/>
      <c r="U47" s="61"/>
      <c r="V47" s="61"/>
      <c r="W47" s="61"/>
      <c r="X47" s="61"/>
      <c r="Y47" s="61"/>
      <c r="Z47" s="61"/>
      <c r="AA47" s="61"/>
      <c r="AB47" s="61"/>
      <c r="AC47" s="61"/>
      <c r="AD47" s="61"/>
      <c r="AE47" s="61"/>
      <c r="AF47" s="61"/>
      <c r="AG47" s="61"/>
    </row>
    <row r="48">
      <c r="A48" s="71"/>
      <c r="B48" s="72">
        <v>1354.76556175699</v>
      </c>
      <c r="C48" s="72">
        <v>24.087431159</v>
      </c>
      <c r="D48" s="72">
        <v>23.899360251</v>
      </c>
      <c r="E48" s="73"/>
      <c r="F48" s="73"/>
      <c r="G48" s="72">
        <v>67.612485616</v>
      </c>
      <c r="H48" s="74"/>
      <c r="I48" s="63" t="s">
        <v>34</v>
      </c>
      <c r="N48" s="61"/>
      <c r="O48" s="61"/>
      <c r="P48" s="61"/>
      <c r="Q48" s="61"/>
      <c r="R48" s="61"/>
      <c r="S48" s="61"/>
      <c r="T48" s="61"/>
      <c r="U48" s="61"/>
      <c r="V48" s="61"/>
      <c r="W48" s="61"/>
      <c r="X48" s="61"/>
      <c r="Y48" s="61"/>
      <c r="Z48" s="61"/>
      <c r="AA48" s="61"/>
      <c r="AB48" s="61"/>
      <c r="AC48" s="61"/>
      <c r="AD48" s="61"/>
      <c r="AE48" s="61"/>
      <c r="AF48" s="61"/>
      <c r="AG48" s="61"/>
    </row>
    <row r="49">
      <c r="A49" s="75" t="s">
        <v>35</v>
      </c>
      <c r="B49" s="76">
        <f t="shared" ref="B49:G49" si="25">AVERAGE(B46:B48)</f>
        <v>1352.830031</v>
      </c>
      <c r="C49" s="76">
        <f t="shared" si="25"/>
        <v>24.21332725</v>
      </c>
      <c r="D49" s="76">
        <f t="shared" si="25"/>
        <v>24.33003906</v>
      </c>
      <c r="E49" s="76">
        <f t="shared" si="25"/>
        <v>1361.994834</v>
      </c>
      <c r="F49" s="76">
        <f t="shared" si="25"/>
        <v>2942.684812</v>
      </c>
      <c r="G49" s="76">
        <f t="shared" si="25"/>
        <v>56.6682888</v>
      </c>
      <c r="H49" s="77"/>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row>
    <row r="50">
      <c r="A50" s="78"/>
      <c r="B50" s="61"/>
      <c r="C50" s="61"/>
      <c r="D50" s="61"/>
      <c r="E50" s="61"/>
      <c r="F50" s="61"/>
      <c r="G50" s="61"/>
      <c r="H50" s="64"/>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row>
    <row r="51">
      <c r="A51" s="79"/>
      <c r="B51" s="80"/>
      <c r="C51" s="80"/>
      <c r="D51" s="80"/>
      <c r="E51" s="80"/>
      <c r="F51" s="80"/>
      <c r="G51" s="80"/>
      <c r="H51" s="77"/>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row>
    <row r="52">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row>
    <row r="53">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row>
    <row r="54" hidden="1">
      <c r="A54" s="81" t="s">
        <v>36</v>
      </c>
      <c r="B54" s="2"/>
      <c r="C54" s="2"/>
      <c r="D54" s="2"/>
      <c r="E54" s="2"/>
      <c r="F54" s="2"/>
      <c r="G54" s="2"/>
      <c r="H54" s="3"/>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row>
    <row r="55" hidden="1">
      <c r="A55" s="82" t="s">
        <v>16</v>
      </c>
      <c r="B55" s="63" t="s">
        <v>17</v>
      </c>
      <c r="C55" s="63" t="s">
        <v>18</v>
      </c>
      <c r="D55" s="63" t="s">
        <v>18</v>
      </c>
      <c r="E55" s="61"/>
      <c r="F55" s="61"/>
      <c r="G55" s="61"/>
      <c r="H55" s="64"/>
      <c r="I55" s="83" t="s">
        <v>37</v>
      </c>
      <c r="M55" s="61"/>
      <c r="N55" s="61"/>
      <c r="O55" s="61"/>
      <c r="P55" s="61"/>
      <c r="Q55" s="61"/>
      <c r="R55" s="61"/>
      <c r="S55" s="61"/>
      <c r="T55" s="61"/>
      <c r="U55" s="61"/>
      <c r="V55" s="61"/>
      <c r="W55" s="61"/>
      <c r="X55" s="61"/>
      <c r="Y55" s="61"/>
      <c r="Z55" s="61"/>
      <c r="AA55" s="61"/>
      <c r="AB55" s="61"/>
      <c r="AC55" s="61"/>
      <c r="AD55" s="61"/>
      <c r="AE55" s="61"/>
      <c r="AF55" s="61"/>
      <c r="AG55" s="61"/>
    </row>
    <row r="56" hidden="1">
      <c r="A56" s="82" t="s">
        <v>19</v>
      </c>
      <c r="B56" s="63" t="s">
        <v>17</v>
      </c>
      <c r="C56" s="63" t="s">
        <v>17</v>
      </c>
      <c r="D56" s="63" t="s">
        <v>18</v>
      </c>
      <c r="E56" s="61"/>
      <c r="F56" s="61"/>
      <c r="G56" s="61"/>
      <c r="H56" s="64"/>
      <c r="M56" s="61"/>
      <c r="N56" s="61"/>
      <c r="O56" s="61"/>
      <c r="P56" s="61"/>
      <c r="Q56" s="61"/>
      <c r="R56" s="61"/>
      <c r="S56" s="61"/>
      <c r="T56" s="61"/>
      <c r="U56" s="61"/>
      <c r="V56" s="61"/>
      <c r="W56" s="61"/>
      <c r="X56" s="61"/>
      <c r="Y56" s="61"/>
      <c r="Z56" s="61"/>
      <c r="AA56" s="61"/>
      <c r="AB56" s="61"/>
      <c r="AC56" s="61"/>
      <c r="AD56" s="61"/>
      <c r="AE56" s="61"/>
      <c r="AF56" s="61"/>
      <c r="AG56" s="61"/>
    </row>
    <row r="57" hidden="1">
      <c r="A57" s="82" t="s">
        <v>22</v>
      </c>
      <c r="C57" s="63" t="s">
        <v>23</v>
      </c>
      <c r="D57" s="63"/>
      <c r="E57" s="61"/>
      <c r="F57" s="61"/>
      <c r="G57" s="61"/>
      <c r="H57" s="64"/>
      <c r="M57" s="61"/>
      <c r="N57" s="61"/>
      <c r="O57" s="61"/>
      <c r="P57" s="61"/>
      <c r="Q57" s="61"/>
      <c r="R57" s="61"/>
      <c r="S57" s="61"/>
      <c r="T57" s="61"/>
      <c r="U57" s="61"/>
      <c r="V57" s="61"/>
      <c r="W57" s="61"/>
      <c r="X57" s="61"/>
      <c r="Y57" s="61"/>
      <c r="Z57" s="61"/>
      <c r="AA57" s="61"/>
      <c r="AB57" s="61"/>
      <c r="AC57" s="61"/>
      <c r="AD57" s="61"/>
      <c r="AE57" s="61"/>
      <c r="AF57" s="61"/>
      <c r="AG57" s="61"/>
    </row>
    <row r="58" hidden="1">
      <c r="A58" s="82" t="s">
        <v>25</v>
      </c>
      <c r="C58" s="63" t="s">
        <v>38</v>
      </c>
      <c r="D58" s="63"/>
      <c r="E58" s="61"/>
      <c r="F58" s="61"/>
      <c r="G58" s="61"/>
      <c r="H58" s="64"/>
      <c r="M58" s="61"/>
      <c r="N58" s="61"/>
      <c r="O58" s="61"/>
      <c r="P58" s="61"/>
      <c r="Q58" s="61"/>
      <c r="R58" s="61"/>
      <c r="S58" s="61"/>
      <c r="T58" s="61"/>
      <c r="U58" s="61"/>
      <c r="V58" s="61"/>
      <c r="W58" s="61"/>
      <c r="X58" s="61"/>
      <c r="Y58" s="61"/>
      <c r="Z58" s="61"/>
      <c r="AA58" s="61"/>
      <c r="AB58" s="61"/>
      <c r="AC58" s="61"/>
      <c r="AD58" s="61"/>
      <c r="AE58" s="61"/>
      <c r="AF58" s="61"/>
      <c r="AG58" s="61"/>
    </row>
    <row r="59" hidden="1">
      <c r="A59" s="82" t="s">
        <v>31</v>
      </c>
      <c r="C59" s="63">
        <v>62.0</v>
      </c>
      <c r="D59" s="61"/>
      <c r="E59" s="61"/>
      <c r="F59" s="61"/>
      <c r="G59" s="61"/>
      <c r="H59" s="64"/>
      <c r="M59" s="61"/>
      <c r="N59" s="61"/>
      <c r="O59" s="61"/>
      <c r="P59" s="61"/>
      <c r="Q59" s="61"/>
      <c r="R59" s="61"/>
      <c r="S59" s="61"/>
      <c r="T59" s="61"/>
      <c r="U59" s="61"/>
      <c r="V59" s="61"/>
      <c r="W59" s="61"/>
      <c r="X59" s="61"/>
      <c r="Y59" s="61"/>
      <c r="Z59" s="61"/>
      <c r="AA59" s="61"/>
      <c r="AB59" s="61"/>
      <c r="AC59" s="61"/>
      <c r="AD59" s="61"/>
      <c r="AE59" s="61"/>
      <c r="AF59" s="61"/>
      <c r="AG59" s="61"/>
    </row>
    <row r="60" hidden="1">
      <c r="A60" s="82" t="s">
        <v>32</v>
      </c>
      <c r="C60" s="63">
        <v>4.0</v>
      </c>
      <c r="D60" s="61"/>
      <c r="E60" s="61"/>
      <c r="F60" s="61"/>
      <c r="G60" s="61"/>
      <c r="H60" s="64"/>
    </row>
    <row r="61" hidden="1">
      <c r="A61" s="84" t="s">
        <v>33</v>
      </c>
      <c r="C61" s="63"/>
      <c r="D61" s="61"/>
      <c r="E61" s="61"/>
      <c r="F61" s="61"/>
      <c r="G61" s="61"/>
      <c r="H61" s="64"/>
    </row>
    <row r="62" hidden="1">
      <c r="A62" s="85"/>
      <c r="B62" s="61"/>
      <c r="C62" s="63">
        <v>70.8000584079999</v>
      </c>
      <c r="D62" s="61"/>
      <c r="E62" s="61"/>
      <c r="F62" s="61"/>
      <c r="G62" s="61"/>
      <c r="H62" s="64"/>
    </row>
    <row r="63" hidden="1">
      <c r="A63" s="85"/>
      <c r="B63" s="61"/>
      <c r="C63" s="63"/>
      <c r="D63" s="61"/>
      <c r="E63" s="61"/>
      <c r="F63" s="61"/>
      <c r="G63" s="61"/>
      <c r="H63" s="64"/>
    </row>
    <row r="64" hidden="1">
      <c r="A64" s="86" t="s">
        <v>35</v>
      </c>
      <c r="B64" s="87"/>
      <c r="C64" s="87">
        <f>AVERAGE(C61:C63)</f>
        <v>70.80005841</v>
      </c>
      <c r="D64" s="87"/>
      <c r="E64" s="87"/>
      <c r="F64" s="87"/>
      <c r="G64" s="87"/>
      <c r="H64" s="88"/>
      <c r="I64" s="89"/>
      <c r="J64" s="89"/>
      <c r="K64" s="89"/>
      <c r="L64" s="89"/>
      <c r="M64" s="89"/>
      <c r="N64" s="89"/>
      <c r="O64" s="89"/>
      <c r="P64" s="89"/>
      <c r="Q64" s="89"/>
      <c r="R64" s="89"/>
      <c r="S64" s="89"/>
      <c r="T64" s="89"/>
      <c r="U64" s="89"/>
      <c r="V64" s="89"/>
      <c r="W64" s="89"/>
      <c r="X64" s="89"/>
      <c r="Y64" s="89"/>
      <c r="Z64" s="89"/>
      <c r="AA64" s="89"/>
      <c r="AB64" s="89"/>
      <c r="AC64" s="89"/>
      <c r="AD64" s="89"/>
      <c r="AE64" s="89"/>
      <c r="AF64" s="89"/>
      <c r="AG64" s="89"/>
    </row>
    <row r="65" hidden="1">
      <c r="A65" s="90"/>
      <c r="B65" s="61"/>
      <c r="C65" s="61"/>
      <c r="D65" s="61"/>
      <c r="E65" s="61"/>
      <c r="F65" s="61"/>
      <c r="G65" s="61"/>
      <c r="H65" s="64"/>
    </row>
    <row r="66" hidden="1">
      <c r="A66" s="91"/>
      <c r="B66" s="80"/>
      <c r="C66" s="80"/>
      <c r="D66" s="80"/>
      <c r="E66" s="80"/>
      <c r="F66" s="80"/>
      <c r="G66" s="80"/>
      <c r="H66" s="77"/>
    </row>
    <row r="68">
      <c r="A68" s="92" t="s">
        <v>39</v>
      </c>
      <c r="B68" s="93"/>
      <c r="C68" s="93"/>
      <c r="D68" s="94"/>
      <c r="E68" s="95" t="s">
        <v>40</v>
      </c>
    </row>
    <row r="69">
      <c r="A69" s="96" t="s">
        <v>41</v>
      </c>
      <c r="B69" s="5" t="s">
        <v>42</v>
      </c>
      <c r="C69" s="5" t="s">
        <v>43</v>
      </c>
      <c r="D69" s="97" t="s">
        <v>44</v>
      </c>
    </row>
    <row r="70">
      <c r="A70" s="98" t="s">
        <v>45</v>
      </c>
      <c r="B70" s="99">
        <v>2.24</v>
      </c>
      <c r="C70" s="99">
        <v>39.36</v>
      </c>
      <c r="D70" s="100">
        <v>102.91</v>
      </c>
    </row>
  </sheetData>
  <mergeCells count="16">
    <mergeCell ref="A1:Q1"/>
    <mergeCell ref="R2:T6"/>
    <mergeCell ref="A4:A13"/>
    <mergeCell ref="R7:T12"/>
    <mergeCell ref="A20:E20"/>
    <mergeCell ref="A23:A32"/>
    <mergeCell ref="A39:H39"/>
    <mergeCell ref="A68:D68"/>
    <mergeCell ref="E68:H70"/>
    <mergeCell ref="I38:M38"/>
    <mergeCell ref="I39:M47"/>
    <mergeCell ref="A46:A48"/>
    <mergeCell ref="I48:M48"/>
    <mergeCell ref="A54:H54"/>
    <mergeCell ref="I55:L63"/>
    <mergeCell ref="A61:A63"/>
  </mergeCells>
  <drawing r:id="rId1"/>
</worksheet>
</file>